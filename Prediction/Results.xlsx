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25-2/Machine learning/20252R0136COSE36203/Prediction/"/>
    </mc:Choice>
  </mc:AlternateContent>
  <xr:revisionPtr revIDLastSave="117" documentId="8_{A157B645-B8F0-AE45-B514-243005A693F1}" xr6:coauthVersionLast="47" xr6:coauthVersionMax="47" xr10:uidLastSave="{DBDD57CD-B222-8641-B721-D7977CB366F3}"/>
  <bookViews>
    <workbookView xWindow="28800" yWindow="5960" windowWidth="23880" windowHeight="16180" activeTab="1" xr2:uid="{BD8F2668-885B-4F41-B588-EC6F29A3E790}"/>
  </bookViews>
  <sheets>
    <sheet name="evaluation_metrics" sheetId="1" r:id="rId1"/>
    <sheet name="For_report" sheetId="2" r:id="rId2"/>
  </sheets>
  <definedNames>
    <definedName name="_xlnm._FilterDatabase" localSheetId="0" hidden="1">evaluation_metrics!$A$1:$F$89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3" i="2"/>
  <c r="E34" i="2"/>
  <c r="E35" i="2"/>
  <c r="E36" i="2"/>
  <c r="E37" i="2"/>
  <c r="E38" i="2"/>
  <c r="E31" i="2"/>
  <c r="E22" i="2"/>
  <c r="E23" i="2"/>
  <c r="E24" i="2"/>
  <c r="E25" i="2"/>
  <c r="E26" i="2"/>
  <c r="E27" i="2"/>
  <c r="E21" i="2"/>
  <c r="E14" i="2"/>
  <c r="E15" i="2"/>
  <c r="E16" i="2"/>
  <c r="E17" i="2"/>
  <c r="E18" i="2"/>
  <c r="E13" i="2"/>
  <c r="E3" i="2"/>
  <c r="E4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<sst xmlns="http://schemas.openxmlformats.org/spreadsheetml/2006/main" count="642" uniqueCount="35">
  <si>
    <t>Feature_set</t>
  </si>
  <si>
    <t>Embeddings</t>
  </si>
  <si>
    <t>Dim_reduction</t>
  </si>
  <si>
    <t>Model</t>
  </si>
  <si>
    <t>MSE</t>
  </si>
  <si>
    <t>model</t>
  </si>
  <si>
    <t>A</t>
  </si>
  <si>
    <t>-</t>
  </si>
  <si>
    <t>LightGBM</t>
  </si>
  <si>
    <t>lightgbm</t>
  </si>
  <si>
    <t>B</t>
  </si>
  <si>
    <t>bodyText</t>
  </si>
  <si>
    <t>orig</t>
  </si>
  <si>
    <t>pca</t>
  </si>
  <si>
    <t>chunking</t>
  </si>
  <si>
    <t>headlines</t>
  </si>
  <si>
    <t>paragraphs</t>
  </si>
  <si>
    <t>C</t>
  </si>
  <si>
    <t>D</t>
  </si>
  <si>
    <t>Linear</t>
  </si>
  <si>
    <t>linear</t>
  </si>
  <si>
    <t>Lasso_alpha0.1</t>
  </si>
  <si>
    <t>GRU</t>
  </si>
  <si>
    <t>gru</t>
  </si>
  <si>
    <t>SARIMAX</t>
  </si>
  <si>
    <t>sarimax</t>
  </si>
  <si>
    <t>-</t>
    <phoneticPr fontId="18" type="noConversion"/>
  </si>
  <si>
    <t>Model</t>
    <phoneticPr fontId="18" type="noConversion"/>
  </si>
  <si>
    <t>Average MSE</t>
    <phoneticPr fontId="18" type="noConversion"/>
  </si>
  <si>
    <t>Std MSE</t>
    <phoneticPr fontId="18" type="noConversion"/>
  </si>
  <si>
    <t>Count</t>
    <phoneticPr fontId="18" type="noConversion"/>
  </si>
  <si>
    <t>Linear</t>
    <phoneticPr fontId="18" type="noConversion"/>
  </si>
  <si>
    <t>SARIMAX</t>
    <phoneticPr fontId="18" type="noConversion"/>
  </si>
  <si>
    <t>LIghtGBM</t>
    <phoneticPr fontId="18" type="noConversion"/>
  </si>
  <si>
    <t>GRU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</si>
</sst>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6100"/>
      <name val="맑은 고딕"/>
      <family val="2"/>
      <charset val="129"/>
      <scheme val="minor"/>
    </font>
    <font>
      <b/>
      <sz val="12"/>
      <color rgb="FF9C0006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2" borderId="0" xfId="6" applyFont="1">
      <alignment vertical="center"/>
    </xf>
    <xf numFmtId="0" fontId="19" fillId="2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0" xfId="7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7DCF-DB4D-4143-A6D1-64E7D2D5C0BB}">
  <sheetPr filterMode="1"/>
  <dimension ref="A1:M89"/>
  <sheetViews>
    <sheetView zoomScale="120" zoomScaleNormal="120" workbookViewId="0">
      <selection activeCell="F9" sqref="A1:F9"/>
    </sheetView>
  </sheetViews>
  <sheetFormatPr baseColWidth="10" defaultRowHeight="18"/>
  <cols>
    <col min="1" max="1" width="13.42578125" bestFit="1" customWidth="1"/>
    <col min="2" max="2" width="14.140625" bestFit="1" customWidth="1"/>
    <col min="3" max="3" width="15.85546875" bestFit="1" customWidth="1"/>
    <col min="4" max="4" width="13.28515625" bestFit="1" customWidth="1"/>
    <col min="5" max="5" width="12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>
      <c r="A2" t="s">
        <v>18</v>
      </c>
      <c r="B2" t="s">
        <v>11</v>
      </c>
      <c r="C2" t="s">
        <v>13</v>
      </c>
      <c r="D2" t="s">
        <v>19</v>
      </c>
      <c r="E2">
        <v>881.761902951548</v>
      </c>
      <c r="F2" t="s">
        <v>20</v>
      </c>
    </row>
    <row r="3" spans="1:13">
      <c r="A3" t="s">
        <v>18</v>
      </c>
      <c r="B3" t="s">
        <v>15</v>
      </c>
      <c r="C3" t="s">
        <v>12</v>
      </c>
      <c r="D3" t="s">
        <v>21</v>
      </c>
      <c r="E3">
        <v>881.87383131214597</v>
      </c>
      <c r="F3" t="s">
        <v>20</v>
      </c>
      <c r="H3" t="s">
        <v>6</v>
      </c>
      <c r="I3" t="s">
        <v>7</v>
      </c>
      <c r="J3" t="s">
        <v>7</v>
      </c>
      <c r="K3" t="s">
        <v>21</v>
      </c>
      <c r="L3">
        <v>1015.66013259862</v>
      </c>
      <c r="M3" t="s">
        <v>20</v>
      </c>
    </row>
    <row r="4" spans="1:13">
      <c r="A4" t="s">
        <v>18</v>
      </c>
      <c r="B4" t="s">
        <v>16</v>
      </c>
      <c r="C4" t="s">
        <v>13</v>
      </c>
      <c r="D4" t="s">
        <v>19</v>
      </c>
      <c r="E4">
        <v>886.31645952584802</v>
      </c>
      <c r="F4" t="s">
        <v>20</v>
      </c>
      <c r="H4" t="s">
        <v>17</v>
      </c>
      <c r="I4" t="s">
        <v>11</v>
      </c>
      <c r="J4" t="s">
        <v>13</v>
      </c>
      <c r="K4" t="s">
        <v>19</v>
      </c>
      <c r="L4">
        <v>1096.2035656887399</v>
      </c>
      <c r="M4" t="s">
        <v>20</v>
      </c>
    </row>
    <row r="5" spans="1:13">
      <c r="A5" t="s">
        <v>18</v>
      </c>
      <c r="B5" t="s">
        <v>14</v>
      </c>
      <c r="C5" t="s">
        <v>13</v>
      </c>
      <c r="D5" t="s">
        <v>19</v>
      </c>
      <c r="E5">
        <v>886.43547689199795</v>
      </c>
      <c r="F5" t="s">
        <v>20</v>
      </c>
      <c r="H5" t="s">
        <v>10</v>
      </c>
      <c r="I5" t="s">
        <v>11</v>
      </c>
      <c r="J5" t="s">
        <v>13</v>
      </c>
      <c r="K5" t="s">
        <v>19</v>
      </c>
      <c r="L5">
        <v>1096.2533755469201</v>
      </c>
      <c r="M5" t="s">
        <v>20</v>
      </c>
    </row>
    <row r="6" spans="1:13">
      <c r="A6" t="s">
        <v>18</v>
      </c>
      <c r="B6" t="s">
        <v>15</v>
      </c>
      <c r="C6" t="s">
        <v>13</v>
      </c>
      <c r="D6" t="s">
        <v>19</v>
      </c>
      <c r="E6">
        <v>889.94650309627104</v>
      </c>
      <c r="F6" t="s">
        <v>20</v>
      </c>
      <c r="H6" t="s">
        <v>17</v>
      </c>
      <c r="I6" t="s">
        <v>14</v>
      </c>
      <c r="J6" t="s">
        <v>13</v>
      </c>
      <c r="K6" t="s">
        <v>24</v>
      </c>
      <c r="L6">
        <v>3858.7534001854501</v>
      </c>
      <c r="M6" t="s">
        <v>25</v>
      </c>
    </row>
    <row r="7" spans="1:13">
      <c r="A7" t="s">
        <v>18</v>
      </c>
      <c r="B7" t="s">
        <v>11</v>
      </c>
      <c r="C7" t="s">
        <v>12</v>
      </c>
      <c r="D7" t="s">
        <v>19</v>
      </c>
      <c r="E7">
        <v>895.569087202437</v>
      </c>
      <c r="F7" t="s">
        <v>20</v>
      </c>
    </row>
    <row r="8" spans="1:13">
      <c r="A8" t="s">
        <v>18</v>
      </c>
      <c r="B8" t="s">
        <v>16</v>
      </c>
      <c r="C8" t="s">
        <v>12</v>
      </c>
      <c r="D8" t="s">
        <v>19</v>
      </c>
      <c r="E8">
        <v>896.39803371412302</v>
      </c>
      <c r="F8" t="s">
        <v>20</v>
      </c>
    </row>
    <row r="9" spans="1:13">
      <c r="A9" t="s">
        <v>18</v>
      </c>
      <c r="B9" t="s">
        <v>14</v>
      </c>
      <c r="C9" t="s">
        <v>12</v>
      </c>
      <c r="D9" t="s">
        <v>19</v>
      </c>
      <c r="E9">
        <v>898.59545494051099</v>
      </c>
      <c r="F9" t="s">
        <v>20</v>
      </c>
    </row>
    <row r="10" spans="1:13" hidden="1">
      <c r="A10" t="s">
        <v>6</v>
      </c>
      <c r="B10" t="s">
        <v>7</v>
      </c>
      <c r="C10" t="s">
        <v>7</v>
      </c>
      <c r="D10" t="s">
        <v>21</v>
      </c>
      <c r="E10">
        <v>1015.66013259862</v>
      </c>
      <c r="F10" t="s">
        <v>20</v>
      </c>
    </row>
    <row r="11" spans="1:13" hidden="1">
      <c r="A11" t="s">
        <v>17</v>
      </c>
      <c r="B11" t="s">
        <v>11</v>
      </c>
      <c r="C11" t="s">
        <v>13</v>
      </c>
      <c r="D11" t="s">
        <v>19</v>
      </c>
      <c r="E11">
        <v>1096.2035656887399</v>
      </c>
      <c r="F11" t="s">
        <v>20</v>
      </c>
    </row>
    <row r="12" spans="1:13" hidden="1">
      <c r="A12" t="s">
        <v>10</v>
      </c>
      <c r="B12" t="s">
        <v>11</v>
      </c>
      <c r="C12" t="s">
        <v>13</v>
      </c>
      <c r="D12" t="s">
        <v>19</v>
      </c>
      <c r="E12">
        <v>1096.2533755469201</v>
      </c>
      <c r="F12" t="s">
        <v>20</v>
      </c>
    </row>
    <row r="13" spans="1:13" hidden="1">
      <c r="A13" t="s">
        <v>10</v>
      </c>
      <c r="B13" t="s">
        <v>11</v>
      </c>
      <c r="C13" t="s">
        <v>12</v>
      </c>
      <c r="D13" t="s">
        <v>21</v>
      </c>
      <c r="E13">
        <v>1098.0591069720499</v>
      </c>
      <c r="F13" t="s">
        <v>20</v>
      </c>
    </row>
    <row r="14" spans="1:13" hidden="1">
      <c r="A14" t="s">
        <v>17</v>
      </c>
      <c r="B14" t="s">
        <v>11</v>
      </c>
      <c r="C14" t="s">
        <v>12</v>
      </c>
      <c r="D14" t="s">
        <v>21</v>
      </c>
      <c r="E14">
        <v>1098.0741013188999</v>
      </c>
      <c r="F14" t="s">
        <v>20</v>
      </c>
    </row>
    <row r="15" spans="1:13" hidden="1">
      <c r="A15" t="s">
        <v>10</v>
      </c>
      <c r="B15" t="s">
        <v>15</v>
      </c>
      <c r="C15" t="s">
        <v>12</v>
      </c>
      <c r="D15" t="s">
        <v>21</v>
      </c>
      <c r="E15">
        <v>1098.6072754148199</v>
      </c>
      <c r="F15" t="s">
        <v>20</v>
      </c>
    </row>
    <row r="16" spans="1:13" hidden="1">
      <c r="A16" t="s">
        <v>17</v>
      </c>
      <c r="B16" t="s">
        <v>15</v>
      </c>
      <c r="C16" t="s">
        <v>12</v>
      </c>
      <c r="D16" t="s">
        <v>21</v>
      </c>
      <c r="E16">
        <v>1098.6348405762801</v>
      </c>
      <c r="F16" t="s">
        <v>20</v>
      </c>
    </row>
    <row r="17" spans="1:6" hidden="1">
      <c r="A17" t="s">
        <v>17</v>
      </c>
      <c r="B17" t="s">
        <v>14</v>
      </c>
      <c r="C17" t="s">
        <v>12</v>
      </c>
      <c r="D17" t="s">
        <v>21</v>
      </c>
      <c r="E17">
        <v>1099.9154259172899</v>
      </c>
      <c r="F17" t="s">
        <v>20</v>
      </c>
    </row>
    <row r="18" spans="1:6" hidden="1">
      <c r="A18" t="s">
        <v>10</v>
      </c>
      <c r="B18" t="s">
        <v>14</v>
      </c>
      <c r="C18" t="s">
        <v>12</v>
      </c>
      <c r="D18" t="s">
        <v>21</v>
      </c>
      <c r="E18">
        <v>1099.9707674982101</v>
      </c>
      <c r="F18" t="s">
        <v>20</v>
      </c>
    </row>
    <row r="19" spans="1:6" hidden="1">
      <c r="A19" t="s">
        <v>10</v>
      </c>
      <c r="B19" t="s">
        <v>16</v>
      </c>
      <c r="C19" t="s">
        <v>13</v>
      </c>
      <c r="D19" t="s">
        <v>19</v>
      </c>
      <c r="E19">
        <v>1101.57423975353</v>
      </c>
      <c r="F19" t="s">
        <v>20</v>
      </c>
    </row>
    <row r="20" spans="1:6" hidden="1">
      <c r="A20" t="s">
        <v>17</v>
      </c>
      <c r="B20" t="s">
        <v>16</v>
      </c>
      <c r="C20" t="s">
        <v>13</v>
      </c>
      <c r="D20" t="s">
        <v>19</v>
      </c>
      <c r="E20">
        <v>1101.58127879324</v>
      </c>
      <c r="F20" t="s">
        <v>20</v>
      </c>
    </row>
    <row r="21" spans="1:6" hidden="1">
      <c r="A21" t="s">
        <v>17</v>
      </c>
      <c r="B21" t="s">
        <v>16</v>
      </c>
      <c r="C21" t="s">
        <v>12</v>
      </c>
      <c r="D21" t="s">
        <v>21</v>
      </c>
      <c r="E21">
        <v>1102.6768600248099</v>
      </c>
      <c r="F21" t="s">
        <v>20</v>
      </c>
    </row>
    <row r="22" spans="1:6" hidden="1">
      <c r="A22" t="s">
        <v>10</v>
      </c>
      <c r="B22" t="s">
        <v>16</v>
      </c>
      <c r="C22" t="s">
        <v>12</v>
      </c>
      <c r="D22" t="s">
        <v>21</v>
      </c>
      <c r="E22">
        <v>1102.76489857757</v>
      </c>
      <c r="F22" t="s">
        <v>20</v>
      </c>
    </row>
    <row r="23" spans="1:6" hidden="1">
      <c r="A23" t="s">
        <v>17</v>
      </c>
      <c r="B23" t="s">
        <v>14</v>
      </c>
      <c r="C23" t="s">
        <v>13</v>
      </c>
      <c r="D23" t="s">
        <v>19</v>
      </c>
      <c r="E23">
        <v>1104.1838090711899</v>
      </c>
      <c r="F23" t="s">
        <v>20</v>
      </c>
    </row>
    <row r="24" spans="1:6" hidden="1">
      <c r="A24" t="s">
        <v>10</v>
      </c>
      <c r="B24" t="s">
        <v>14</v>
      </c>
      <c r="C24" t="s">
        <v>13</v>
      </c>
      <c r="D24" t="s">
        <v>19</v>
      </c>
      <c r="E24">
        <v>1104.62349381896</v>
      </c>
      <c r="F24" t="s">
        <v>20</v>
      </c>
    </row>
    <row r="25" spans="1:6" hidden="1">
      <c r="A25" t="s">
        <v>17</v>
      </c>
      <c r="B25" t="s">
        <v>15</v>
      </c>
      <c r="C25" t="s">
        <v>13</v>
      </c>
      <c r="D25" t="s">
        <v>19</v>
      </c>
      <c r="E25">
        <v>1105.7042261455199</v>
      </c>
      <c r="F25" t="s">
        <v>20</v>
      </c>
    </row>
    <row r="26" spans="1:6" hidden="1">
      <c r="A26" t="s">
        <v>10</v>
      </c>
      <c r="B26" t="s">
        <v>15</v>
      </c>
      <c r="C26" t="s">
        <v>13</v>
      </c>
      <c r="D26" t="s">
        <v>19</v>
      </c>
      <c r="E26">
        <v>1105.7666610640499</v>
      </c>
      <c r="F26" t="s">
        <v>20</v>
      </c>
    </row>
    <row r="27" spans="1:6" hidden="1">
      <c r="A27" t="s">
        <v>17</v>
      </c>
      <c r="B27" t="s">
        <v>14</v>
      </c>
      <c r="C27" t="s">
        <v>13</v>
      </c>
      <c r="D27" t="s">
        <v>24</v>
      </c>
      <c r="E27">
        <v>3858.7534001854501</v>
      </c>
      <c r="F27" t="s">
        <v>25</v>
      </c>
    </row>
    <row r="28" spans="1:6" hidden="1">
      <c r="A28" t="s">
        <v>18</v>
      </c>
      <c r="B28" t="s">
        <v>14</v>
      </c>
      <c r="C28" t="s">
        <v>13</v>
      </c>
      <c r="D28" t="s">
        <v>24</v>
      </c>
      <c r="E28">
        <v>3858.7534001854501</v>
      </c>
      <c r="F28" t="s">
        <v>25</v>
      </c>
    </row>
    <row r="29" spans="1:6" hidden="1">
      <c r="A29" t="s">
        <v>17</v>
      </c>
      <c r="B29" t="s">
        <v>16</v>
      </c>
      <c r="C29" t="s">
        <v>13</v>
      </c>
      <c r="D29" t="s">
        <v>24</v>
      </c>
      <c r="E29">
        <v>3994.7786216652898</v>
      </c>
      <c r="F29" t="s">
        <v>25</v>
      </c>
    </row>
    <row r="30" spans="1:6" hidden="1">
      <c r="A30" t="s">
        <v>18</v>
      </c>
      <c r="B30" t="s">
        <v>16</v>
      </c>
      <c r="C30" t="s">
        <v>13</v>
      </c>
      <c r="D30" t="s">
        <v>24</v>
      </c>
      <c r="E30">
        <v>3994.7786216652898</v>
      </c>
      <c r="F30" t="s">
        <v>25</v>
      </c>
    </row>
    <row r="31" spans="1:6" hidden="1">
      <c r="A31" t="s">
        <v>10</v>
      </c>
      <c r="B31" t="s">
        <v>15</v>
      </c>
      <c r="C31" t="s">
        <v>13</v>
      </c>
      <c r="D31" t="s">
        <v>24</v>
      </c>
      <c r="E31">
        <v>4698.6679754833604</v>
      </c>
      <c r="F31" t="s">
        <v>25</v>
      </c>
    </row>
    <row r="32" spans="1:6" hidden="1">
      <c r="A32" t="s">
        <v>17</v>
      </c>
      <c r="B32" t="s">
        <v>11</v>
      </c>
      <c r="C32" t="s">
        <v>13</v>
      </c>
      <c r="D32" t="s">
        <v>24</v>
      </c>
      <c r="E32">
        <v>4839.3868417545</v>
      </c>
      <c r="F32" t="s">
        <v>25</v>
      </c>
    </row>
    <row r="33" spans="1:6" hidden="1">
      <c r="A33" t="s">
        <v>18</v>
      </c>
      <c r="B33" t="s">
        <v>11</v>
      </c>
      <c r="C33" t="s">
        <v>13</v>
      </c>
      <c r="D33" t="s">
        <v>24</v>
      </c>
      <c r="E33">
        <v>4839.3868417545</v>
      </c>
      <c r="F33" t="s">
        <v>25</v>
      </c>
    </row>
    <row r="34" spans="1:6" hidden="1">
      <c r="A34" t="s">
        <v>10</v>
      </c>
      <c r="B34" t="s">
        <v>11</v>
      </c>
      <c r="C34" t="s">
        <v>13</v>
      </c>
      <c r="D34" t="s">
        <v>24</v>
      </c>
      <c r="E34">
        <v>5059.5683272554597</v>
      </c>
      <c r="F34" t="s">
        <v>25</v>
      </c>
    </row>
    <row r="35" spans="1:6" hidden="1">
      <c r="A35" t="s">
        <v>6</v>
      </c>
      <c r="B35" t="s">
        <v>26</v>
      </c>
      <c r="C35" t="s">
        <v>26</v>
      </c>
      <c r="D35" t="s">
        <v>24</v>
      </c>
      <c r="E35">
        <v>5241.3980858573796</v>
      </c>
      <c r="F35" t="s">
        <v>25</v>
      </c>
    </row>
    <row r="36" spans="1:6" hidden="1">
      <c r="A36" t="s">
        <v>10</v>
      </c>
      <c r="B36" t="s">
        <v>16</v>
      </c>
      <c r="C36" t="s">
        <v>13</v>
      </c>
      <c r="D36" t="s">
        <v>24</v>
      </c>
      <c r="E36">
        <v>5428.65294147644</v>
      </c>
      <c r="F36" t="s">
        <v>25</v>
      </c>
    </row>
    <row r="37" spans="1:6" hidden="1">
      <c r="A37" t="s">
        <v>10</v>
      </c>
      <c r="B37" t="s">
        <v>14</v>
      </c>
      <c r="C37" t="s">
        <v>13</v>
      </c>
      <c r="D37" t="s">
        <v>24</v>
      </c>
      <c r="E37">
        <v>5709.0542336111903</v>
      </c>
      <c r="F37" t="s">
        <v>25</v>
      </c>
    </row>
    <row r="38" spans="1:6" hidden="1">
      <c r="A38" t="s">
        <v>17</v>
      </c>
      <c r="B38" t="s">
        <v>15</v>
      </c>
      <c r="C38" t="s">
        <v>13</v>
      </c>
      <c r="D38" t="s">
        <v>24</v>
      </c>
      <c r="E38">
        <v>6680.2116039761504</v>
      </c>
      <c r="F38" t="s">
        <v>25</v>
      </c>
    </row>
    <row r="39" spans="1:6" hidden="1">
      <c r="A39" t="s">
        <v>18</v>
      </c>
      <c r="B39" t="s">
        <v>15</v>
      </c>
      <c r="C39" t="s">
        <v>13</v>
      </c>
      <c r="D39" t="s">
        <v>24</v>
      </c>
      <c r="E39">
        <v>6680.2116039761504</v>
      </c>
      <c r="F39" t="s">
        <v>25</v>
      </c>
    </row>
    <row r="40" spans="1:6" hidden="1">
      <c r="A40" t="s">
        <v>6</v>
      </c>
      <c r="B40" t="s">
        <v>7</v>
      </c>
      <c r="C40" t="s">
        <v>7</v>
      </c>
      <c r="D40" t="s">
        <v>22</v>
      </c>
      <c r="E40">
        <v>7341.36180876037</v>
      </c>
      <c r="F40" t="s">
        <v>23</v>
      </c>
    </row>
    <row r="41" spans="1:6" hidden="1">
      <c r="A41" t="s">
        <v>18</v>
      </c>
      <c r="B41" t="s">
        <v>14</v>
      </c>
      <c r="C41" t="s">
        <v>12</v>
      </c>
      <c r="D41" t="s">
        <v>22</v>
      </c>
      <c r="E41">
        <v>17700.669140137499</v>
      </c>
      <c r="F41" t="s">
        <v>23</v>
      </c>
    </row>
    <row r="42" spans="1:6" hidden="1">
      <c r="A42" t="s">
        <v>18</v>
      </c>
      <c r="B42" t="s">
        <v>15</v>
      </c>
      <c r="C42" t="s">
        <v>12</v>
      </c>
      <c r="D42" t="s">
        <v>22</v>
      </c>
      <c r="E42">
        <v>19128.204197208699</v>
      </c>
      <c r="F42" t="s">
        <v>23</v>
      </c>
    </row>
    <row r="43" spans="1:6" hidden="1">
      <c r="A43" t="s">
        <v>18</v>
      </c>
      <c r="B43" t="s">
        <v>11</v>
      </c>
      <c r="C43" t="s">
        <v>12</v>
      </c>
      <c r="D43" t="s">
        <v>22</v>
      </c>
      <c r="E43">
        <v>19163.4302684951</v>
      </c>
      <c r="F43" t="s">
        <v>23</v>
      </c>
    </row>
    <row r="44" spans="1:6" hidden="1">
      <c r="A44" t="s">
        <v>18</v>
      </c>
      <c r="B44" t="s">
        <v>14</v>
      </c>
      <c r="C44" t="s">
        <v>13</v>
      </c>
      <c r="D44" t="s">
        <v>8</v>
      </c>
      <c r="E44">
        <v>19937.8657967529</v>
      </c>
      <c r="F44" t="s">
        <v>9</v>
      </c>
    </row>
    <row r="45" spans="1:6" hidden="1">
      <c r="A45" t="s">
        <v>18</v>
      </c>
      <c r="B45" t="s">
        <v>15</v>
      </c>
      <c r="C45" t="s">
        <v>12</v>
      </c>
      <c r="D45" t="s">
        <v>8</v>
      </c>
      <c r="E45">
        <v>20170.1137046371</v>
      </c>
      <c r="F45" t="s">
        <v>9</v>
      </c>
    </row>
    <row r="46" spans="1:6" hidden="1">
      <c r="A46" t="s">
        <v>18</v>
      </c>
      <c r="B46" t="s">
        <v>11</v>
      </c>
      <c r="C46" t="s">
        <v>12</v>
      </c>
      <c r="D46" t="s">
        <v>8</v>
      </c>
      <c r="E46">
        <v>20211.397074125402</v>
      </c>
      <c r="F46" t="s">
        <v>9</v>
      </c>
    </row>
    <row r="47" spans="1:6" hidden="1">
      <c r="A47" t="s">
        <v>18</v>
      </c>
      <c r="B47" t="s">
        <v>14</v>
      </c>
      <c r="C47" t="s">
        <v>12</v>
      </c>
      <c r="D47" t="s">
        <v>8</v>
      </c>
      <c r="E47">
        <v>20211.397074125402</v>
      </c>
      <c r="F47" t="s">
        <v>9</v>
      </c>
    </row>
    <row r="48" spans="1:6" hidden="1">
      <c r="A48" t="s">
        <v>18</v>
      </c>
      <c r="B48" t="s">
        <v>16</v>
      </c>
      <c r="C48" t="s">
        <v>12</v>
      </c>
      <c r="D48" t="s">
        <v>8</v>
      </c>
      <c r="E48">
        <v>20211.397074125402</v>
      </c>
      <c r="F48" t="s">
        <v>9</v>
      </c>
    </row>
    <row r="49" spans="1:6" hidden="1">
      <c r="A49" t="s">
        <v>18</v>
      </c>
      <c r="B49" t="s">
        <v>16</v>
      </c>
      <c r="C49" t="s">
        <v>13</v>
      </c>
      <c r="D49" t="s">
        <v>8</v>
      </c>
      <c r="E49">
        <v>20304.188570155398</v>
      </c>
      <c r="F49" t="s">
        <v>9</v>
      </c>
    </row>
    <row r="50" spans="1:6" hidden="1">
      <c r="A50" t="s">
        <v>18</v>
      </c>
      <c r="B50" t="s">
        <v>15</v>
      </c>
      <c r="C50" t="s">
        <v>13</v>
      </c>
      <c r="D50" t="s">
        <v>8</v>
      </c>
      <c r="E50">
        <v>20390.842965628399</v>
      </c>
      <c r="F50" t="s">
        <v>9</v>
      </c>
    </row>
    <row r="51" spans="1:6" hidden="1">
      <c r="A51" t="s">
        <v>18</v>
      </c>
      <c r="B51" t="s">
        <v>11</v>
      </c>
      <c r="C51" t="s">
        <v>13</v>
      </c>
      <c r="D51" t="s">
        <v>8</v>
      </c>
      <c r="E51">
        <v>20582.037852791302</v>
      </c>
      <c r="F51" t="s">
        <v>9</v>
      </c>
    </row>
    <row r="52" spans="1:6" hidden="1">
      <c r="A52" t="s">
        <v>10</v>
      </c>
      <c r="B52" t="s">
        <v>16</v>
      </c>
      <c r="C52" t="s">
        <v>13</v>
      </c>
      <c r="D52" t="s">
        <v>8</v>
      </c>
      <c r="E52">
        <v>20613.334087101699</v>
      </c>
      <c r="F52" t="s">
        <v>9</v>
      </c>
    </row>
    <row r="53" spans="1:6" hidden="1">
      <c r="A53" t="s">
        <v>17</v>
      </c>
      <c r="B53" t="s">
        <v>16</v>
      </c>
      <c r="C53" t="s">
        <v>13</v>
      </c>
      <c r="D53" t="s">
        <v>8</v>
      </c>
      <c r="E53">
        <v>20762.5183309885</v>
      </c>
      <c r="F53" t="s">
        <v>9</v>
      </c>
    </row>
    <row r="54" spans="1:6" hidden="1">
      <c r="A54" t="s">
        <v>10</v>
      </c>
      <c r="B54" t="s">
        <v>15</v>
      </c>
      <c r="C54" t="s">
        <v>13</v>
      </c>
      <c r="D54" t="s">
        <v>8</v>
      </c>
      <c r="E54">
        <v>20764.420328153701</v>
      </c>
      <c r="F54" t="s">
        <v>9</v>
      </c>
    </row>
    <row r="55" spans="1:6" hidden="1">
      <c r="A55" t="s">
        <v>10</v>
      </c>
      <c r="B55" t="s">
        <v>11</v>
      </c>
      <c r="C55" t="s">
        <v>13</v>
      </c>
      <c r="D55" t="s">
        <v>8</v>
      </c>
      <c r="E55">
        <v>20820.148873452301</v>
      </c>
      <c r="F55" t="s">
        <v>9</v>
      </c>
    </row>
    <row r="56" spans="1:6" hidden="1">
      <c r="A56" t="s">
        <v>17</v>
      </c>
      <c r="B56" t="s">
        <v>15</v>
      </c>
      <c r="C56" t="s">
        <v>12</v>
      </c>
      <c r="D56" t="s">
        <v>8</v>
      </c>
      <c r="E56">
        <v>20822.424986791098</v>
      </c>
      <c r="F56" t="s">
        <v>9</v>
      </c>
    </row>
    <row r="57" spans="1:6" hidden="1">
      <c r="A57" t="s">
        <v>17</v>
      </c>
      <c r="B57" t="s">
        <v>15</v>
      </c>
      <c r="C57" t="s">
        <v>13</v>
      </c>
      <c r="D57" t="s">
        <v>8</v>
      </c>
      <c r="E57">
        <v>20824.117792941699</v>
      </c>
      <c r="F57" t="s">
        <v>9</v>
      </c>
    </row>
    <row r="58" spans="1:6" hidden="1">
      <c r="A58" t="s">
        <v>10</v>
      </c>
      <c r="B58" t="s">
        <v>14</v>
      </c>
      <c r="C58" t="s">
        <v>13</v>
      </c>
      <c r="D58" t="s">
        <v>8</v>
      </c>
      <c r="E58">
        <v>20824.5722427488</v>
      </c>
      <c r="F58" t="s">
        <v>9</v>
      </c>
    </row>
    <row r="59" spans="1:6" hidden="1">
      <c r="A59" t="s">
        <v>17</v>
      </c>
      <c r="B59" t="s">
        <v>14</v>
      </c>
      <c r="C59" t="s">
        <v>13</v>
      </c>
      <c r="D59" t="s">
        <v>8</v>
      </c>
      <c r="E59">
        <v>20844.820314462198</v>
      </c>
      <c r="F59" t="s">
        <v>9</v>
      </c>
    </row>
    <row r="60" spans="1:6" hidden="1">
      <c r="A60" t="s">
        <v>10</v>
      </c>
      <c r="B60" t="s">
        <v>15</v>
      </c>
      <c r="C60" t="s">
        <v>12</v>
      </c>
      <c r="D60" t="s">
        <v>8</v>
      </c>
      <c r="E60">
        <v>20858.9850626753</v>
      </c>
      <c r="F60" t="s">
        <v>9</v>
      </c>
    </row>
    <row r="61" spans="1:6" hidden="1">
      <c r="A61" t="s">
        <v>10</v>
      </c>
      <c r="B61" t="s">
        <v>11</v>
      </c>
      <c r="C61" t="s">
        <v>12</v>
      </c>
      <c r="D61" t="s">
        <v>8</v>
      </c>
      <c r="E61">
        <v>20862.665131234899</v>
      </c>
      <c r="F61" t="s">
        <v>9</v>
      </c>
    </row>
    <row r="62" spans="1:6" hidden="1">
      <c r="A62" t="s">
        <v>10</v>
      </c>
      <c r="B62" t="s">
        <v>14</v>
      </c>
      <c r="C62" t="s">
        <v>12</v>
      </c>
      <c r="D62" t="s">
        <v>8</v>
      </c>
      <c r="E62">
        <v>20862.665131234899</v>
      </c>
      <c r="F62" t="s">
        <v>9</v>
      </c>
    </row>
    <row r="63" spans="1:6" hidden="1">
      <c r="A63" t="s">
        <v>10</v>
      </c>
      <c r="B63" t="s">
        <v>16</v>
      </c>
      <c r="C63" t="s">
        <v>12</v>
      </c>
      <c r="D63" t="s">
        <v>8</v>
      </c>
      <c r="E63">
        <v>20862.665131234899</v>
      </c>
      <c r="F63" t="s">
        <v>9</v>
      </c>
    </row>
    <row r="64" spans="1:6" hidden="1">
      <c r="A64" t="s">
        <v>17</v>
      </c>
      <c r="B64" t="s">
        <v>11</v>
      </c>
      <c r="C64" t="s">
        <v>12</v>
      </c>
      <c r="D64" t="s">
        <v>8</v>
      </c>
      <c r="E64">
        <v>20863.789584065798</v>
      </c>
      <c r="F64" t="s">
        <v>9</v>
      </c>
    </row>
    <row r="65" spans="1:6" hidden="1">
      <c r="A65" t="s">
        <v>17</v>
      </c>
      <c r="B65" t="s">
        <v>14</v>
      </c>
      <c r="C65" t="s">
        <v>12</v>
      </c>
      <c r="D65" t="s">
        <v>8</v>
      </c>
      <c r="E65">
        <v>20863.789584065798</v>
      </c>
      <c r="F65" t="s">
        <v>9</v>
      </c>
    </row>
    <row r="66" spans="1:6" hidden="1">
      <c r="A66" t="s">
        <v>17</v>
      </c>
      <c r="B66" t="s">
        <v>16</v>
      </c>
      <c r="C66" t="s">
        <v>12</v>
      </c>
      <c r="D66" t="s">
        <v>8</v>
      </c>
      <c r="E66">
        <v>20863.789584065798</v>
      </c>
      <c r="F66" t="s">
        <v>9</v>
      </c>
    </row>
    <row r="67" spans="1:6" hidden="1">
      <c r="A67" t="s">
        <v>17</v>
      </c>
      <c r="B67" t="s">
        <v>11</v>
      </c>
      <c r="C67" t="s">
        <v>13</v>
      </c>
      <c r="D67" t="s">
        <v>8</v>
      </c>
      <c r="E67">
        <v>20877.7248349248</v>
      </c>
      <c r="F67" t="s">
        <v>9</v>
      </c>
    </row>
    <row r="68" spans="1:6" hidden="1">
      <c r="A68" t="s">
        <v>6</v>
      </c>
      <c r="B68" t="s">
        <v>7</v>
      </c>
      <c r="C68" t="s">
        <v>7</v>
      </c>
      <c r="D68" t="s">
        <v>8</v>
      </c>
      <c r="E68">
        <v>21608.7450029879</v>
      </c>
      <c r="F68" t="s">
        <v>9</v>
      </c>
    </row>
    <row r="69" spans="1:6" hidden="1">
      <c r="A69" t="s">
        <v>18</v>
      </c>
      <c r="B69" t="s">
        <v>16</v>
      </c>
      <c r="C69" t="s">
        <v>12</v>
      </c>
      <c r="D69" t="s">
        <v>22</v>
      </c>
      <c r="E69">
        <v>24225.353466606</v>
      </c>
      <c r="F69" t="s">
        <v>23</v>
      </c>
    </row>
    <row r="70" spans="1:6" hidden="1">
      <c r="A70" t="s">
        <v>18</v>
      </c>
      <c r="B70" t="s">
        <v>15</v>
      </c>
      <c r="C70" t="s">
        <v>13</v>
      </c>
      <c r="D70" t="s">
        <v>22</v>
      </c>
      <c r="E70">
        <v>28524.2238543366</v>
      </c>
      <c r="F70" t="s">
        <v>23</v>
      </c>
    </row>
    <row r="71" spans="1:6" hidden="1">
      <c r="A71" t="s">
        <v>18</v>
      </c>
      <c r="B71" t="s">
        <v>14</v>
      </c>
      <c r="C71" t="s">
        <v>13</v>
      </c>
      <c r="D71" t="s">
        <v>22</v>
      </c>
      <c r="E71">
        <v>30654.722492455901</v>
      </c>
      <c r="F71" t="s">
        <v>23</v>
      </c>
    </row>
    <row r="72" spans="1:6" hidden="1">
      <c r="A72" t="s">
        <v>18</v>
      </c>
      <c r="B72" t="s">
        <v>11</v>
      </c>
      <c r="C72" t="s">
        <v>13</v>
      </c>
      <c r="D72" t="s">
        <v>22</v>
      </c>
      <c r="E72">
        <v>31513.2620376376</v>
      </c>
      <c r="F72" t="s">
        <v>23</v>
      </c>
    </row>
    <row r="73" spans="1:6" hidden="1">
      <c r="A73" t="s">
        <v>18</v>
      </c>
      <c r="B73" t="s">
        <v>16</v>
      </c>
      <c r="C73" t="s">
        <v>13</v>
      </c>
      <c r="D73" t="s">
        <v>22</v>
      </c>
      <c r="E73">
        <v>44106.004107196</v>
      </c>
      <c r="F73" t="s">
        <v>23</v>
      </c>
    </row>
    <row r="74" spans="1:6" hidden="1">
      <c r="A74" t="s">
        <v>10</v>
      </c>
      <c r="B74" t="s">
        <v>14</v>
      </c>
      <c r="C74" t="s">
        <v>12</v>
      </c>
      <c r="D74" t="s">
        <v>22</v>
      </c>
      <c r="E74">
        <v>354537.56758643599</v>
      </c>
      <c r="F74" t="s">
        <v>23</v>
      </c>
    </row>
    <row r="75" spans="1:6" hidden="1">
      <c r="A75" t="s">
        <v>17</v>
      </c>
      <c r="B75" t="s">
        <v>11</v>
      </c>
      <c r="C75" t="s">
        <v>12</v>
      </c>
      <c r="D75" t="s">
        <v>22</v>
      </c>
      <c r="E75">
        <v>357212.87365308602</v>
      </c>
      <c r="F75" t="s">
        <v>23</v>
      </c>
    </row>
    <row r="76" spans="1:6" hidden="1">
      <c r="A76" t="s">
        <v>10</v>
      </c>
      <c r="B76" t="s">
        <v>11</v>
      </c>
      <c r="C76" t="s">
        <v>12</v>
      </c>
      <c r="D76" t="s">
        <v>22</v>
      </c>
      <c r="E76">
        <v>358869.58573770098</v>
      </c>
      <c r="F76" t="s">
        <v>23</v>
      </c>
    </row>
    <row r="77" spans="1:6" hidden="1">
      <c r="A77" t="s">
        <v>17</v>
      </c>
      <c r="B77" t="s">
        <v>16</v>
      </c>
      <c r="C77" t="s">
        <v>12</v>
      </c>
      <c r="D77" t="s">
        <v>22</v>
      </c>
      <c r="E77">
        <v>370704.32899053098</v>
      </c>
      <c r="F77" t="s">
        <v>23</v>
      </c>
    </row>
    <row r="78" spans="1:6" hidden="1">
      <c r="A78" t="s">
        <v>17</v>
      </c>
      <c r="B78" t="s">
        <v>15</v>
      </c>
      <c r="C78" t="s">
        <v>13</v>
      </c>
      <c r="D78" t="s">
        <v>22</v>
      </c>
      <c r="E78">
        <v>370833.66916644201</v>
      </c>
      <c r="F78" t="s">
        <v>23</v>
      </c>
    </row>
    <row r="79" spans="1:6" hidden="1">
      <c r="A79" t="s">
        <v>17</v>
      </c>
      <c r="B79" t="s">
        <v>15</v>
      </c>
      <c r="C79" t="s">
        <v>12</v>
      </c>
      <c r="D79" t="s">
        <v>22</v>
      </c>
      <c r="E79">
        <v>373022.91151270701</v>
      </c>
      <c r="F79" t="s">
        <v>23</v>
      </c>
    </row>
    <row r="80" spans="1:6" hidden="1">
      <c r="A80" t="s">
        <v>10</v>
      </c>
      <c r="B80" t="s">
        <v>16</v>
      </c>
      <c r="C80" t="s">
        <v>12</v>
      </c>
      <c r="D80" t="s">
        <v>22</v>
      </c>
      <c r="E80">
        <v>374506.86507564102</v>
      </c>
      <c r="F80" t="s">
        <v>23</v>
      </c>
    </row>
    <row r="81" spans="1:6" hidden="1">
      <c r="A81" t="s">
        <v>17</v>
      </c>
      <c r="B81" t="s">
        <v>11</v>
      </c>
      <c r="C81" t="s">
        <v>13</v>
      </c>
      <c r="D81" t="s">
        <v>22</v>
      </c>
      <c r="E81">
        <v>376921.72288387601</v>
      </c>
      <c r="F81" t="s">
        <v>23</v>
      </c>
    </row>
    <row r="82" spans="1:6" hidden="1">
      <c r="A82" t="s">
        <v>17</v>
      </c>
      <c r="B82" t="s">
        <v>14</v>
      </c>
      <c r="C82" t="s">
        <v>12</v>
      </c>
      <c r="D82" t="s">
        <v>22</v>
      </c>
      <c r="E82">
        <v>388795.72815493</v>
      </c>
      <c r="F82" t="s">
        <v>23</v>
      </c>
    </row>
    <row r="83" spans="1:6" hidden="1">
      <c r="A83" t="s">
        <v>10</v>
      </c>
      <c r="B83" t="s">
        <v>15</v>
      </c>
      <c r="C83" t="s">
        <v>12</v>
      </c>
      <c r="D83" t="s">
        <v>22</v>
      </c>
      <c r="E83">
        <v>403354.516648338</v>
      </c>
      <c r="F83" t="s">
        <v>23</v>
      </c>
    </row>
    <row r="84" spans="1:6" hidden="1">
      <c r="A84" t="s">
        <v>10</v>
      </c>
      <c r="B84" t="s">
        <v>15</v>
      </c>
      <c r="C84" t="s">
        <v>13</v>
      </c>
      <c r="D84" t="s">
        <v>22</v>
      </c>
      <c r="E84">
        <v>405139.51353262097</v>
      </c>
      <c r="F84" t="s">
        <v>23</v>
      </c>
    </row>
    <row r="85" spans="1:6" hidden="1">
      <c r="A85" t="s">
        <v>17</v>
      </c>
      <c r="B85" t="s">
        <v>16</v>
      </c>
      <c r="C85" t="s">
        <v>13</v>
      </c>
      <c r="D85" t="s">
        <v>22</v>
      </c>
      <c r="E85">
        <v>427519.42381540901</v>
      </c>
      <c r="F85" t="s">
        <v>23</v>
      </c>
    </row>
    <row r="86" spans="1:6" hidden="1">
      <c r="A86" t="s">
        <v>10</v>
      </c>
      <c r="B86" t="s">
        <v>14</v>
      </c>
      <c r="C86" t="s">
        <v>13</v>
      </c>
      <c r="D86" t="s">
        <v>22</v>
      </c>
      <c r="E86">
        <v>437379.26811406401</v>
      </c>
      <c r="F86" t="s">
        <v>23</v>
      </c>
    </row>
    <row r="87" spans="1:6" hidden="1">
      <c r="A87" t="s">
        <v>10</v>
      </c>
      <c r="B87" t="s">
        <v>16</v>
      </c>
      <c r="C87" t="s">
        <v>13</v>
      </c>
      <c r="D87" t="s">
        <v>22</v>
      </c>
      <c r="E87">
        <v>437841.17023617501</v>
      </c>
      <c r="F87" t="s">
        <v>23</v>
      </c>
    </row>
    <row r="88" spans="1:6" hidden="1">
      <c r="A88" t="s">
        <v>17</v>
      </c>
      <c r="B88" t="s">
        <v>14</v>
      </c>
      <c r="C88" t="s">
        <v>13</v>
      </c>
      <c r="D88" t="s">
        <v>22</v>
      </c>
      <c r="E88">
        <v>448226.37261978799</v>
      </c>
      <c r="F88" t="s">
        <v>23</v>
      </c>
    </row>
    <row r="89" spans="1:6" hidden="1">
      <c r="A89" t="s">
        <v>10</v>
      </c>
      <c r="B89" t="s">
        <v>11</v>
      </c>
      <c r="C89" t="s">
        <v>13</v>
      </c>
      <c r="D89" t="s">
        <v>22</v>
      </c>
      <c r="E89">
        <v>453152.637544211</v>
      </c>
      <c r="F89" t="s">
        <v>23</v>
      </c>
    </row>
  </sheetData>
  <autoFilter ref="A1:F89" xr:uid="{64437DCF-DB4D-4143-A6D1-64E7D2D5C0BB}">
    <filterColumn colId="0">
      <filters>
        <filter val="D"/>
      </filters>
    </filterColumn>
    <filterColumn colId="5">
      <filters>
        <filter val="linear"/>
      </filters>
    </filterColumn>
    <sortState xmlns:xlrd2="http://schemas.microsoft.com/office/spreadsheetml/2017/richdata2" ref="A2:F89">
      <sortCondition ref="E1:E89"/>
    </sortState>
  </autoFilter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BE4A-5356-2A4B-9A87-0E49CE9EAAAA}">
  <dimension ref="A1:L38"/>
  <sheetViews>
    <sheetView tabSelected="1" workbookViewId="0">
      <selection activeCell="I1" sqref="I1:L5"/>
    </sheetView>
  </sheetViews>
  <sheetFormatPr baseColWidth="10" defaultRowHeight="18"/>
  <cols>
    <col min="1" max="1" width="11.28515625" bestFit="1" customWidth="1"/>
    <col min="2" max="2" width="12" bestFit="1" customWidth="1"/>
    <col min="3" max="3" width="13.7109375" bestFit="1" customWidth="1"/>
    <col min="4" max="4" width="13.28515625" bestFit="1" customWidth="1"/>
    <col min="9" max="9" width="9.28515625" bestFit="1" customWidth="1"/>
    <col min="10" max="10" width="12.7109375" bestFit="1" customWidth="1"/>
    <col min="12" max="12" width="6.57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4</v>
      </c>
      <c r="I1" s="4" t="s">
        <v>27</v>
      </c>
      <c r="J1" s="4" t="s">
        <v>28</v>
      </c>
      <c r="K1" s="4" t="s">
        <v>29</v>
      </c>
      <c r="L1" s="4" t="s">
        <v>30</v>
      </c>
    </row>
    <row r="2" spans="1:12">
      <c r="A2" s="3" t="s">
        <v>18</v>
      </c>
      <c r="B2" s="3" t="s">
        <v>11</v>
      </c>
      <c r="C2" s="3" t="s">
        <v>13</v>
      </c>
      <c r="D2" s="3" t="s">
        <v>19</v>
      </c>
      <c r="E2" s="3">
        <f>ROUND(G2,2)</f>
        <v>881.76</v>
      </c>
      <c r="F2" s="3" t="s">
        <v>20</v>
      </c>
      <c r="G2">
        <v>881.761902951548</v>
      </c>
      <c r="I2" s="3" t="s">
        <v>31</v>
      </c>
      <c r="J2" s="3">
        <v>1029.8900000000001</v>
      </c>
      <c r="K2" s="3">
        <v>99.75</v>
      </c>
      <c r="L2" s="3">
        <v>25</v>
      </c>
    </row>
    <row r="3" spans="1:12">
      <c r="A3" s="3" t="s">
        <v>18</v>
      </c>
      <c r="B3" s="3" t="s">
        <v>11</v>
      </c>
      <c r="C3" s="3" t="s">
        <v>12</v>
      </c>
      <c r="D3" s="3" t="s">
        <v>19</v>
      </c>
      <c r="E3" s="3">
        <f t="shared" ref="E3:E8" si="0">ROUND(G3,2)</f>
        <v>895.57</v>
      </c>
      <c r="F3" s="3" t="s">
        <v>20</v>
      </c>
      <c r="G3">
        <v>895.569087202437</v>
      </c>
      <c r="I3" s="3" t="s">
        <v>32</v>
      </c>
      <c r="J3" s="3">
        <v>4991.05</v>
      </c>
      <c r="K3" s="3">
        <v>94.44</v>
      </c>
      <c r="L3" s="3">
        <v>13</v>
      </c>
    </row>
    <row r="4" spans="1:12">
      <c r="A4" s="3" t="s">
        <v>18</v>
      </c>
      <c r="B4" s="3" t="s">
        <v>11</v>
      </c>
      <c r="C4" s="3" t="s">
        <v>13</v>
      </c>
      <c r="D4" s="3" t="s">
        <v>24</v>
      </c>
      <c r="E4" s="3">
        <f t="shared" si="0"/>
        <v>4839.3900000000003</v>
      </c>
      <c r="F4" s="3" t="s">
        <v>25</v>
      </c>
      <c r="G4">
        <v>4839.3868417545</v>
      </c>
      <c r="I4" s="3" t="s">
        <v>33</v>
      </c>
      <c r="J4" s="3">
        <v>20672.82</v>
      </c>
      <c r="K4" s="3">
        <v>351.48</v>
      </c>
      <c r="L4" s="3">
        <v>25</v>
      </c>
    </row>
    <row r="5" spans="1:12">
      <c r="A5" s="3" t="s">
        <v>18</v>
      </c>
      <c r="B5" s="3" t="s">
        <v>11</v>
      </c>
      <c r="C5" s="3" t="s">
        <v>12</v>
      </c>
      <c r="D5" s="3" t="s">
        <v>22</v>
      </c>
      <c r="E5" s="3">
        <f t="shared" si="0"/>
        <v>19163.43</v>
      </c>
      <c r="F5" s="3" t="s">
        <v>23</v>
      </c>
      <c r="G5">
        <v>19163.4302684951</v>
      </c>
      <c r="I5" s="3" t="s">
        <v>34</v>
      </c>
      <c r="J5" s="3">
        <v>267811.69</v>
      </c>
      <c r="K5" s="3">
        <v>176878.87</v>
      </c>
      <c r="L5" s="3">
        <v>25</v>
      </c>
    </row>
    <row r="6" spans="1:12">
      <c r="A6" s="3" t="s">
        <v>18</v>
      </c>
      <c r="B6" s="3" t="s">
        <v>11</v>
      </c>
      <c r="C6" s="3" t="s">
        <v>12</v>
      </c>
      <c r="D6" s="3" t="s">
        <v>8</v>
      </c>
      <c r="E6" s="3">
        <f t="shared" si="0"/>
        <v>20211.400000000001</v>
      </c>
      <c r="F6" s="3" t="s">
        <v>9</v>
      </c>
      <c r="G6">
        <v>20211.397074125402</v>
      </c>
    </row>
    <row r="7" spans="1:12">
      <c r="A7" s="3" t="s">
        <v>18</v>
      </c>
      <c r="B7" s="3" t="s">
        <v>11</v>
      </c>
      <c r="C7" s="3" t="s">
        <v>13</v>
      </c>
      <c r="D7" s="3" t="s">
        <v>8</v>
      </c>
      <c r="E7" s="3">
        <f t="shared" si="0"/>
        <v>20582.04</v>
      </c>
      <c r="F7" s="3" t="s">
        <v>9</v>
      </c>
      <c r="G7">
        <v>20582.037852791302</v>
      </c>
    </row>
    <row r="8" spans="1:12">
      <c r="A8" s="3" t="s">
        <v>18</v>
      </c>
      <c r="B8" s="3" t="s">
        <v>11</v>
      </c>
      <c r="C8" s="3" t="s">
        <v>13</v>
      </c>
      <c r="D8" s="3" t="s">
        <v>22</v>
      </c>
      <c r="E8" s="3">
        <f t="shared" si="0"/>
        <v>31513.26</v>
      </c>
      <c r="F8" s="3" t="s">
        <v>23</v>
      </c>
      <c r="G8">
        <v>31513.2620376376</v>
      </c>
    </row>
    <row r="12" spans="1:12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1" t="s">
        <v>4</v>
      </c>
    </row>
    <row r="13" spans="1:12">
      <c r="A13" s="3" t="s">
        <v>18</v>
      </c>
      <c r="B13" s="3" t="s">
        <v>11</v>
      </c>
      <c r="C13" s="3" t="s">
        <v>13</v>
      </c>
      <c r="D13" s="3" t="s">
        <v>19</v>
      </c>
      <c r="E13" s="3">
        <f>ROUND(G13,2)</f>
        <v>881.76</v>
      </c>
      <c r="F13" s="3" t="s">
        <v>20</v>
      </c>
      <c r="G13">
        <v>881.761902951548</v>
      </c>
    </row>
    <row r="14" spans="1:12">
      <c r="A14" s="3" t="s">
        <v>18</v>
      </c>
      <c r="B14" s="3" t="s">
        <v>15</v>
      </c>
      <c r="C14" s="3" t="s">
        <v>12</v>
      </c>
      <c r="D14" s="3" t="s">
        <v>21</v>
      </c>
      <c r="E14" s="3">
        <f t="shared" ref="E14:E18" si="1">ROUND(G14,2)</f>
        <v>881.87</v>
      </c>
      <c r="F14" s="3" t="s">
        <v>20</v>
      </c>
      <c r="G14">
        <v>881.87383131214597</v>
      </c>
    </row>
    <row r="15" spans="1:12">
      <c r="A15" s="3" t="s">
        <v>18</v>
      </c>
      <c r="B15" s="3" t="s">
        <v>16</v>
      </c>
      <c r="C15" s="3" t="s">
        <v>13</v>
      </c>
      <c r="D15" s="3" t="s">
        <v>19</v>
      </c>
      <c r="E15" s="3">
        <f t="shared" si="1"/>
        <v>886.32</v>
      </c>
      <c r="F15" s="3" t="s">
        <v>20</v>
      </c>
      <c r="G15">
        <v>886.31645952584802</v>
      </c>
    </row>
    <row r="16" spans="1:12">
      <c r="A16" s="3" t="s">
        <v>18</v>
      </c>
      <c r="B16" s="3" t="s">
        <v>14</v>
      </c>
      <c r="C16" s="3" t="s">
        <v>13</v>
      </c>
      <c r="D16" s="3" t="s">
        <v>19</v>
      </c>
      <c r="E16" s="3">
        <f t="shared" si="1"/>
        <v>886.44</v>
      </c>
      <c r="F16" s="3" t="s">
        <v>20</v>
      </c>
      <c r="G16">
        <v>886.43547689199795</v>
      </c>
    </row>
    <row r="17" spans="1:7">
      <c r="A17" s="3" t="s">
        <v>18</v>
      </c>
      <c r="B17" s="3" t="s">
        <v>15</v>
      </c>
      <c r="C17" s="3" t="s">
        <v>13</v>
      </c>
      <c r="D17" s="3" t="s">
        <v>19</v>
      </c>
      <c r="E17" s="3">
        <f t="shared" si="1"/>
        <v>889.95</v>
      </c>
      <c r="F17" s="3" t="s">
        <v>20</v>
      </c>
      <c r="G17">
        <v>889.94650309627104</v>
      </c>
    </row>
    <row r="18" spans="1:7">
      <c r="A18" s="3" t="s">
        <v>18</v>
      </c>
      <c r="B18" s="3" t="s">
        <v>11</v>
      </c>
      <c r="C18" s="3" t="s">
        <v>12</v>
      </c>
      <c r="D18" s="3" t="s">
        <v>19</v>
      </c>
      <c r="E18" s="3">
        <f t="shared" si="1"/>
        <v>895.57</v>
      </c>
      <c r="F18" s="3" t="s">
        <v>20</v>
      </c>
      <c r="G18">
        <v>895.569087202437</v>
      </c>
    </row>
    <row r="20" spans="1:7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1" t="s">
        <v>4</v>
      </c>
    </row>
    <row r="21" spans="1:7">
      <c r="A21" s="3" t="s">
        <v>18</v>
      </c>
      <c r="B21" s="3" t="s">
        <v>11</v>
      </c>
      <c r="C21" s="3" t="s">
        <v>13</v>
      </c>
      <c r="D21" s="3" t="s">
        <v>19</v>
      </c>
      <c r="E21" s="3">
        <f>ROUND(G21,2)</f>
        <v>881.76</v>
      </c>
      <c r="F21" s="3" t="s">
        <v>20</v>
      </c>
      <c r="G21">
        <v>881.761902951548</v>
      </c>
    </row>
    <row r="22" spans="1:7">
      <c r="A22" s="3" t="s">
        <v>18</v>
      </c>
      <c r="B22" s="3" t="s">
        <v>11</v>
      </c>
      <c r="C22" s="3" t="s">
        <v>12</v>
      </c>
      <c r="D22" s="3" t="s">
        <v>19</v>
      </c>
      <c r="E22" s="3">
        <f t="shared" ref="E22:E27" si="2">ROUND(G22,2)</f>
        <v>895.57</v>
      </c>
      <c r="F22" s="3" t="s">
        <v>20</v>
      </c>
      <c r="G22">
        <v>895.569087202437</v>
      </c>
    </row>
    <row r="23" spans="1:7">
      <c r="A23" s="3" t="s">
        <v>6</v>
      </c>
      <c r="B23" s="3" t="s">
        <v>7</v>
      </c>
      <c r="C23" s="3" t="s">
        <v>7</v>
      </c>
      <c r="D23" s="3" t="s">
        <v>21</v>
      </c>
      <c r="E23" s="3">
        <f t="shared" si="2"/>
        <v>1015.66</v>
      </c>
      <c r="F23" s="3" t="s">
        <v>20</v>
      </c>
      <c r="G23">
        <v>1015.66013259862</v>
      </c>
    </row>
    <row r="24" spans="1:7">
      <c r="A24" s="3" t="s">
        <v>17</v>
      </c>
      <c r="B24" s="3" t="s">
        <v>11</v>
      </c>
      <c r="C24" s="3" t="s">
        <v>13</v>
      </c>
      <c r="D24" s="3" t="s">
        <v>19</v>
      </c>
      <c r="E24" s="3">
        <f t="shared" si="2"/>
        <v>1096.2</v>
      </c>
      <c r="F24" s="3" t="s">
        <v>20</v>
      </c>
      <c r="G24">
        <v>1096.2035656887399</v>
      </c>
    </row>
    <row r="25" spans="1:7">
      <c r="A25" s="3" t="s">
        <v>10</v>
      </c>
      <c r="B25" s="3" t="s">
        <v>11</v>
      </c>
      <c r="C25" s="3" t="s">
        <v>13</v>
      </c>
      <c r="D25" s="3" t="s">
        <v>19</v>
      </c>
      <c r="E25" s="3">
        <f t="shared" si="2"/>
        <v>1096.25</v>
      </c>
      <c r="F25" s="3" t="s">
        <v>20</v>
      </c>
      <c r="G25">
        <v>1096.2533755469201</v>
      </c>
    </row>
    <row r="26" spans="1:7">
      <c r="A26" s="3" t="s">
        <v>10</v>
      </c>
      <c r="B26" s="3" t="s">
        <v>11</v>
      </c>
      <c r="C26" s="3" t="s">
        <v>12</v>
      </c>
      <c r="D26" s="3" t="s">
        <v>21</v>
      </c>
      <c r="E26" s="3">
        <f t="shared" si="2"/>
        <v>1098.06</v>
      </c>
      <c r="F26" s="3" t="s">
        <v>20</v>
      </c>
      <c r="G26">
        <v>1098.0591069720499</v>
      </c>
    </row>
    <row r="27" spans="1:7">
      <c r="A27" s="3" t="s">
        <v>17</v>
      </c>
      <c r="B27" s="3" t="s">
        <v>11</v>
      </c>
      <c r="C27" s="3" t="s">
        <v>12</v>
      </c>
      <c r="D27" s="3" t="s">
        <v>21</v>
      </c>
      <c r="E27" s="3">
        <f t="shared" si="2"/>
        <v>1098.07</v>
      </c>
      <c r="F27" s="3" t="s">
        <v>20</v>
      </c>
      <c r="G27">
        <v>1098.0741013188999</v>
      </c>
    </row>
    <row r="30" spans="1:7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4</v>
      </c>
    </row>
    <row r="31" spans="1:7">
      <c r="A31" s="3" t="s">
        <v>18</v>
      </c>
      <c r="B31" s="3" t="s">
        <v>11</v>
      </c>
      <c r="C31" s="3" t="s">
        <v>13</v>
      </c>
      <c r="D31" s="3" t="s">
        <v>19</v>
      </c>
      <c r="E31" s="3">
        <f>ROUND(G31,2)</f>
        <v>881.76</v>
      </c>
      <c r="F31" s="3" t="s">
        <v>20</v>
      </c>
      <c r="G31" s="3">
        <v>881.761902951548</v>
      </c>
    </row>
    <row r="32" spans="1:7">
      <c r="A32" s="3" t="s">
        <v>18</v>
      </c>
      <c r="B32" s="3" t="s">
        <v>15</v>
      </c>
      <c r="C32" s="3" t="s">
        <v>12</v>
      </c>
      <c r="D32" s="3" t="s">
        <v>21</v>
      </c>
      <c r="E32" s="3">
        <f t="shared" ref="E32:E38" si="3">ROUND(G32,2)</f>
        <v>881.87</v>
      </c>
      <c r="F32" s="3" t="s">
        <v>20</v>
      </c>
      <c r="G32" s="3">
        <v>881.87383131214597</v>
      </c>
    </row>
    <row r="33" spans="1:7">
      <c r="A33" s="3" t="s">
        <v>18</v>
      </c>
      <c r="B33" s="3" t="s">
        <v>16</v>
      </c>
      <c r="C33" s="3" t="s">
        <v>13</v>
      </c>
      <c r="D33" s="3" t="s">
        <v>19</v>
      </c>
      <c r="E33" s="3">
        <f t="shared" si="3"/>
        <v>886.32</v>
      </c>
      <c r="F33" s="3" t="s">
        <v>20</v>
      </c>
      <c r="G33" s="3">
        <v>886.31645952584802</v>
      </c>
    </row>
    <row r="34" spans="1:7">
      <c r="A34" s="3" t="s">
        <v>18</v>
      </c>
      <c r="B34" s="3" t="s">
        <v>14</v>
      </c>
      <c r="C34" s="3" t="s">
        <v>13</v>
      </c>
      <c r="D34" s="3" t="s">
        <v>19</v>
      </c>
      <c r="E34" s="3">
        <f t="shared" si="3"/>
        <v>886.44</v>
      </c>
      <c r="F34" s="3" t="s">
        <v>20</v>
      </c>
      <c r="G34" s="3">
        <v>886.43547689199795</v>
      </c>
    </row>
    <row r="35" spans="1:7">
      <c r="A35" s="3" t="s">
        <v>18</v>
      </c>
      <c r="B35" s="3" t="s">
        <v>15</v>
      </c>
      <c r="C35" s="3" t="s">
        <v>13</v>
      </c>
      <c r="D35" s="3" t="s">
        <v>19</v>
      </c>
      <c r="E35" s="3">
        <f t="shared" si="3"/>
        <v>889.95</v>
      </c>
      <c r="F35" s="3" t="s">
        <v>20</v>
      </c>
      <c r="G35" s="3">
        <v>889.94650309627104</v>
      </c>
    </row>
    <row r="36" spans="1:7">
      <c r="A36" s="3" t="s">
        <v>18</v>
      </c>
      <c r="B36" s="3" t="s">
        <v>11</v>
      </c>
      <c r="C36" s="3" t="s">
        <v>12</v>
      </c>
      <c r="D36" s="3" t="s">
        <v>19</v>
      </c>
      <c r="E36" s="3">
        <f t="shared" si="3"/>
        <v>895.57</v>
      </c>
      <c r="F36" s="3" t="s">
        <v>20</v>
      </c>
      <c r="G36" s="3">
        <v>895.569087202437</v>
      </c>
    </row>
    <row r="37" spans="1:7">
      <c r="A37" s="3" t="s">
        <v>18</v>
      </c>
      <c r="B37" s="3" t="s">
        <v>16</v>
      </c>
      <c r="C37" s="3" t="s">
        <v>12</v>
      </c>
      <c r="D37" s="3" t="s">
        <v>19</v>
      </c>
      <c r="E37" s="3">
        <f t="shared" si="3"/>
        <v>896.4</v>
      </c>
      <c r="F37" s="3" t="s">
        <v>20</v>
      </c>
      <c r="G37" s="3">
        <v>896.39803371412302</v>
      </c>
    </row>
    <row r="38" spans="1:7">
      <c r="A38" s="3" t="s">
        <v>18</v>
      </c>
      <c r="B38" s="3" t="s">
        <v>14</v>
      </c>
      <c r="C38" s="3" t="s">
        <v>12</v>
      </c>
      <c r="D38" s="3" t="s">
        <v>19</v>
      </c>
      <c r="E38" s="3">
        <f t="shared" si="3"/>
        <v>898.6</v>
      </c>
      <c r="F38" s="3" t="s">
        <v>20</v>
      </c>
      <c r="G38" s="3">
        <v>898.59545494051099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evaluation_metrics</vt:lpstr>
      <vt:lpstr>For_report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2025-12-02T15:47:28Z</dcterms:created>
  <dcterms:modified xsi:type="dcterms:W3CDTF">2025-12-09T17:27:20Z</dcterms:modified>
</cp:coreProperties>
</file>